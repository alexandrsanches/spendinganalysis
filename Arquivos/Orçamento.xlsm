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0" codeName="{B1BEFC71-4687-E4F5-767E-874F2C42665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/Users/alexandre/Documents/Projetos/Gastos/Arquivos/"/>
    </mc:Choice>
  </mc:AlternateContent>
  <xr:revisionPtr revIDLastSave="0" documentId="13_ncr:1_{67158C8D-34DA-DA40-97B3-036834751363}" xr6:coauthVersionLast="45" xr6:coauthVersionMax="45" xr10:uidLastSave="{00000000-0000-0000-0000-000000000000}"/>
  <bookViews>
    <workbookView xWindow="0" yWindow="460" windowWidth="28800" windowHeight="16180" activeTab="2" xr2:uid="{00000000-000D-0000-FFFF-FFFF00000000}"/>
  </bookViews>
  <sheets>
    <sheet name="Economia" sheetId="1" r:id="rId1"/>
    <sheet name="Categorias" sheetId="3" r:id="rId2"/>
    <sheet name="Despesas" sheetId="5" r:id="rId3"/>
    <sheet name="Dados do gráfico" sheetId="2" state="hidden" r:id="rId4"/>
  </sheets>
  <definedNames>
    <definedName name="Economia_mensal_total">Economia!$J$8</definedName>
    <definedName name="Renda_mensal_total">Economia!$J$4</definedName>
    <definedName name="Total_mensal_de_despesas">Economia!$J$6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5" l="1"/>
  <c r="B3" i="5"/>
  <c r="C3" i="5"/>
  <c r="D3" i="5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B2" i="5"/>
  <c r="C2" i="5"/>
  <c r="D2" i="5"/>
  <c r="A2" i="5"/>
  <c r="F3" i="1" l="1"/>
  <c r="A18" i="5" l="1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B1" i="5" l="1"/>
  <c r="C1" i="5"/>
  <c r="D1" i="5"/>
  <c r="A1" i="5"/>
  <c r="J8" i="1" l="1"/>
  <c r="J6" i="1"/>
  <c r="J4" i="1"/>
  <c r="J10" i="1" l="1"/>
  <c r="B6" i="2"/>
  <c r="H11" i="1"/>
  <c r="B5" i="2"/>
  <c r="B4" i="2" s="1"/>
</calcChain>
</file>

<file path=xl/sharedStrings.xml><?xml version="1.0" encoding="utf-8"?>
<sst xmlns="http://schemas.openxmlformats.org/spreadsheetml/2006/main" count="87" uniqueCount="49">
  <si>
    <t>Orçamento</t>
  </si>
  <si>
    <t>Item</t>
  </si>
  <si>
    <t>Categoria</t>
  </si>
  <si>
    <t>Valor</t>
  </si>
  <si>
    <t>Data</t>
  </si>
  <si>
    <t>Percentual da renda gasta</t>
  </si>
  <si>
    <t>Resumo</t>
  </si>
  <si>
    <t>Renda mensal total</t>
  </si>
  <si>
    <t>Despesa mensal total</t>
  </si>
  <si>
    <t>Economia mensal total</t>
  </si>
  <si>
    <t>Saldo em dinheiro</t>
  </si>
  <si>
    <t>Despesas mensais</t>
  </si>
  <si>
    <t>Renda mensal</t>
  </si>
  <si>
    <t>Economia mensal</t>
  </si>
  <si>
    <t xml:space="preserve">Data </t>
  </si>
  <si>
    <t>Salário</t>
  </si>
  <si>
    <t>Objetivos</t>
  </si>
  <si>
    <t>Rendimentos</t>
  </si>
  <si>
    <t>Categorias de gastos</t>
  </si>
  <si>
    <t>Despesas</t>
  </si>
  <si>
    <t>Economia</t>
  </si>
  <si>
    <t>Viagem</t>
  </si>
  <si>
    <t>Hora extra</t>
  </si>
  <si>
    <t>Casa</t>
  </si>
  <si>
    <t>Juros</t>
  </si>
  <si>
    <t>DADOS DO GRÁFICO</t>
  </si>
  <si>
    <t>Geral</t>
  </si>
  <si>
    <t>Bar</t>
  </si>
  <si>
    <t>Lanche</t>
  </si>
  <si>
    <t>Supermercado</t>
  </si>
  <si>
    <t>Bebida</t>
  </si>
  <si>
    <t>Gasolina</t>
  </si>
  <si>
    <t>Uber</t>
  </si>
  <si>
    <t>Cursos</t>
  </si>
  <si>
    <t>Consulta</t>
  </si>
  <si>
    <t>Psicóloga</t>
  </si>
  <si>
    <t>Desconhecido</t>
  </si>
  <si>
    <t>Comida</t>
  </si>
  <si>
    <t>Torta alemã</t>
  </si>
  <si>
    <t>Água</t>
  </si>
  <si>
    <t>Bife</t>
  </si>
  <si>
    <t>Pensão</t>
  </si>
  <si>
    <t>Cartão de crédito</t>
  </si>
  <si>
    <t>Subway</t>
  </si>
  <si>
    <t>Saúde</t>
  </si>
  <si>
    <t xml:space="preserve">Mcdonald's </t>
  </si>
  <si>
    <t>Picolé</t>
  </si>
  <si>
    <t>Suco</t>
  </si>
  <si>
    <t>Crédito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</si>
</sst>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&quot;R$&quot;* #,##0_);_(&quot;R$&quot;* \(#,##0\);_(&quot;R$&quot;* &quot;-&quot;_);_(@_)"/>
    <numFmt numFmtId="165" formatCode="_(* #,##0_);_(* \(#,##0\);_(* &quot;-&quot;_);_(@_)"/>
    <numFmt numFmtId="166" formatCode="_(&quot;R$&quot;* #,##0.00_);_(&quot;R$&quot;* \(#,##0.00\);_(&quot;R$&quot;* &quot;-&quot;??_);_(@_)"/>
    <numFmt numFmtId="167" formatCode="_(* #,##0.00_);_(* \(#,##0.00\);_(* &quot;-&quot;??_);_(@_)"/>
    <numFmt numFmtId="168" formatCode="&quot;R$&quot;\ #,##0"/>
    <numFmt numFmtId="169" formatCode="&quot;R$&quot;\ #,##0.00"/>
  </numFmts>
  <fonts count="11" x14ac:knownFonts="1">
    <font>
      <b/>
      <sz val="12"/>
      <color theme="3" tint="0.39988402966399123"/>
      <name val="Arial"/>
      <family val="2"/>
      <scheme val="minor"/>
    </font>
    <font>
      <sz val="10"/>
      <name val="Arial"/>
      <family val="2"/>
    </font>
    <font>
      <b/>
      <sz val="18"/>
      <color theme="3"/>
      <name val="Arial"/>
      <family val="2"/>
      <scheme val="minor"/>
    </font>
    <font>
      <b/>
      <sz val="12"/>
      <color theme="4"/>
      <name val="Arial"/>
      <family val="2"/>
      <scheme val="minor"/>
    </font>
    <font>
      <b/>
      <sz val="14"/>
      <color theme="4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2"/>
      <color theme="4"/>
      <name val="Arial"/>
      <family val="2"/>
      <scheme val="major"/>
    </font>
    <font>
      <b/>
      <sz val="29"/>
      <color theme="3"/>
      <name val="Arial"/>
      <family val="2"/>
      <scheme val="major"/>
    </font>
    <font>
      <sz val="12"/>
      <name val="Arial"/>
      <family val="2"/>
      <scheme val="minor"/>
    </font>
    <font>
      <sz val="11"/>
      <name val="Arial"/>
      <family val="2"/>
      <scheme val="minor"/>
    </font>
    <font>
      <b/>
      <sz val="12"/>
      <color theme="4"/>
      <name val="Arial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7" fillId="0" borderId="0" applyNumberFormat="0" applyFill="0" applyAlignment="0" applyProtection="0"/>
    <xf numFmtId="0" fontId="5" fillId="0" borderId="0" applyNumberFormat="0" applyFill="0" applyProtection="0">
      <alignment horizontal="left"/>
    </xf>
    <xf numFmtId="0" fontId="2" fillId="0" borderId="0" applyNumberFormat="0" applyFill="0" applyAlignment="0" applyProtection="0"/>
  </cellStyleXfs>
  <cellXfs count="22">
    <xf numFmtId="0" fontId="0" fillId="0" borderId="0" xfId="0"/>
    <xf numFmtId="0" fontId="5" fillId="0" borderId="0" xfId="7" applyAlignment="1">
      <alignment horizontal="left"/>
    </xf>
    <xf numFmtId="0" fontId="6" fillId="0" borderId="0" xfId="0" applyFont="1"/>
    <xf numFmtId="0" fontId="7" fillId="0" borderId="0" xfId="6" applyFont="1" applyAlignment="1">
      <alignment horizontal="left"/>
    </xf>
    <xf numFmtId="9" fontId="8" fillId="0" borderId="0" xfId="0" applyNumberFormat="1" applyFont="1"/>
    <xf numFmtId="168" fontId="3" fillId="0" borderId="0" xfId="0" applyNumberFormat="1" applyFont="1" applyAlignment="1">
      <alignment horizontal="left"/>
    </xf>
    <xf numFmtId="0" fontId="6" fillId="0" borderId="1" xfId="0" applyFont="1" applyBorder="1"/>
    <xf numFmtId="169" fontId="6" fillId="2" borderId="2" xfId="0" applyNumberFormat="1" applyFont="1" applyFill="1" applyBorder="1" applyAlignment="1">
      <alignment horizontal="left"/>
    </xf>
    <xf numFmtId="9" fontId="4" fillId="0" borderId="0" xfId="0" applyNumberFormat="1" applyFont="1" applyAlignment="1">
      <alignment horizontal="center" vertical="center"/>
    </xf>
    <xf numFmtId="0" fontId="5" fillId="0" borderId="0" xfId="7" applyAlignment="1">
      <alignment horizontal="left" vertical="center"/>
    </xf>
    <xf numFmtId="0" fontId="9" fillId="0" borderId="0" xfId="0" applyFont="1"/>
    <xf numFmtId="16" fontId="6" fillId="2" borderId="2" xfId="0" applyNumberFormat="1" applyFont="1" applyFill="1" applyBorder="1" applyAlignment="1">
      <alignment horizontal="left"/>
    </xf>
    <xf numFmtId="169" fontId="3" fillId="0" borderId="0" xfId="0" applyNumberFormat="1" applyFont="1" applyAlignment="1">
      <alignment horizontal="left"/>
    </xf>
    <xf numFmtId="14" fontId="6" fillId="0" borderId="0" xfId="0" applyNumberFormat="1" applyFont="1" applyAlignment="1">
      <alignment horizontal="center"/>
    </xf>
    <xf numFmtId="169" fontId="6" fillId="2" borderId="2" xfId="0" applyNumberFormat="1" applyFont="1" applyFill="1" applyBorder="1" applyAlignment="1">
      <alignment horizontal="center"/>
    </xf>
    <xf numFmtId="169" fontId="6" fillId="0" borderId="0" xfId="0" applyNumberFormat="1" applyFont="1" applyAlignment="1">
      <alignment horizontal="center"/>
    </xf>
    <xf numFmtId="16" fontId="6" fillId="0" borderId="0" xfId="0" applyNumberFormat="1" applyFont="1" applyAlignment="1">
      <alignment horizontal="center"/>
    </xf>
    <xf numFmtId="169" fontId="10" fillId="2" borderId="2" xfId="0" applyNumberFormat="1" applyFont="1" applyFill="1" applyBorder="1" applyAlignment="1">
      <alignment horizontal="center"/>
    </xf>
    <xf numFmtId="16" fontId="0" fillId="0" borderId="0" xfId="0" applyNumberFormat="1"/>
    <xf numFmtId="16" fontId="10" fillId="2" borderId="2" xfId="0" applyNumberFormat="1" applyFont="1" applyFill="1" applyBorder="1" applyAlignment="1">
      <alignment horizontal="center"/>
    </xf>
    <xf numFmtId="9" fontId="4" fillId="0" borderId="0" xfId="0" applyNumberFormat="1" applyFont="1" applyAlignment="1">
      <alignment horizontal="center" vertical="center"/>
    </xf>
    <xf numFmtId="0" fontId="5" fillId="0" borderId="0" xfId="7" applyAlignment="1">
      <alignment horizontal="center" vertical="center"/>
    </xf>
  </cellXfs>
  <cellStyles count="9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Heading 1" xfId="7" xr:uid="{00000000-0005-0000-0000-000004000000}"/>
    <cellStyle name="Heading 2" xfId="8" xr:uid="{00000000-0005-0000-0000-000005000000}"/>
    <cellStyle name="Normal" xfId="0" builtinId="0"/>
    <cellStyle name="Percent" xfId="1" xr:uid="{00000000-0005-0000-0000-000007000000}"/>
    <cellStyle name="Title" xfId="6" xr:uid="{00000000-0005-0000-0000-000008000000}"/>
  </cellStyles>
  <dxfs count="20">
    <dxf>
      <numFmt numFmtId="21" formatCode="dd/mmm"/>
      <alignment horizontal="center" vertical="bottom" textRotation="0" wrapText="0" indent="0" justifyLastLine="0" shrinkToFit="0" readingOrder="0"/>
    </dxf>
    <dxf>
      <numFmt numFmtId="169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scheme val="major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scheme val="major"/>
      </font>
    </dxf>
    <dxf>
      <font>
        <color theme="4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scheme val="major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color theme="4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/>
        <i val="0"/>
        <strike val="0"/>
        <u val="none"/>
        <sz val="12"/>
        <color theme="4"/>
        <name val="Arial"/>
      </font>
    </dxf>
    <dxf>
      <font>
        <strike val="0"/>
        <outline val="0"/>
        <shadow val="0"/>
        <u val="none"/>
        <vertAlign val="baseline"/>
        <sz val="12"/>
        <color theme="4"/>
        <name val="Arial"/>
        <scheme val="major"/>
      </font>
      <numFmt numFmtId="21" formatCode="dd/mmm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2"/>
        <color theme="4"/>
        <name val="Arial"/>
        <scheme val="major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2"/>
        <color theme="4"/>
        <name val="Arial"/>
        <scheme val="major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2"/>
        <color theme="4"/>
        <name val="Arial"/>
        <scheme val="major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2"/>
        <color theme="4"/>
        <name val="Arial"/>
        <scheme val="maj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scheme val="major"/>
      </font>
    </dxf>
    <dxf>
      <font>
        <color theme="5" tint="-0.24991607409894101"/>
      </font>
    </dxf>
    <dxf>
      <font>
        <color theme="5" tint="-0.24991607409894101"/>
      </font>
    </dxf>
    <dxf>
      <font>
        <color theme="4"/>
      </font>
    </dxf>
    <dxf>
      <font>
        <b/>
        <i val="0"/>
        <color theme="3" tint="0.39988402966399123"/>
      </font>
    </dxf>
  </dxfs>
  <tableStyles count="1" defaultTableStyle="TableStyleMedium2" defaultPivotStyle="PivotStyleLight16">
    <tableStyle name="Tabela de orçamento" pivot="0" count="2" xr9:uid="{00000000-0011-0000-FFFF-FFFF00000000}">
      <tableStyleElement type="wholeTable" dxfId="19"/>
      <tableStyleElement type="headerRow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249999999999997E-2"/>
          <c:y val="4.6249999999999999E-2"/>
          <c:w val="0.83550000000000002"/>
          <c:h val="0.89049999999999996"/>
        </c:manualLayout>
      </c:layout>
      <c:pieChart>
        <c:varyColors val="1"/>
        <c:ser>
          <c:idx val="0"/>
          <c:order val="0"/>
          <c:explosion val="1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/>
              </a:gradFill>
              <a:ln>
                <a:noFill/>
              </a:ln>
              <a:effectLst>
                <a:outerShdw blurRad="57150" dist="19050" dir="5400000" algn="ctr" rotWithShape="0">
                  <a:prstClr val="black">
                    <a:alpha val="63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31-46A4-8590-971FE99294F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>
                <a:outerShdw blurRad="57150" dist="19050" dir="5400000" algn="ctr" rotWithShape="0">
                  <a:prstClr val="black">
                    <a:alpha val="63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31-46A4-8590-971FE99294FD}"/>
              </c:ext>
            </c:extLst>
          </c:dPt>
          <c:val>
            <c:numRef>
              <c:f>'Dados do gráfico'!$B$4:$B$5</c:f>
              <c:numCache>
                <c:formatCode>0%</c:formatCode>
                <c:ptCount val="2"/>
                <c:pt idx="0">
                  <c:v>0.41733600000000004</c:v>
                </c:pt>
                <c:pt idx="1">
                  <c:v>0.58266399999999996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0-744D-8A42-9DB80EC74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>
      <a:noFill/>
      <a:round/>
    </a:ln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</xdr:row>
      <xdr:rowOff>0</xdr:rowOff>
    </xdr:from>
    <xdr:to>
      <xdr:col>9</xdr:col>
      <xdr:colOff>7620</xdr:colOff>
      <xdr:row>10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</xdr:row>
      <xdr:rowOff>76200</xdr:rowOff>
    </xdr:from>
    <xdr:to>
      <xdr:col>1</xdr:col>
      <xdr:colOff>876918</xdr:colOff>
      <xdr:row>3</xdr:row>
      <xdr:rowOff>38100</xdr:rowOff>
    </xdr:to>
    <xdr:sp macro="[0]!Inserir_economia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0980" y="1005840"/>
          <a:ext cx="1417938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  <a:r>
            <a:rPr lang="pt-BR" sz="1100" baseline="0"/>
            <a:t> poupança</a:t>
          </a:r>
        </a:p>
      </xdr:txBody>
    </xdr:sp>
    <xdr:clientData/>
  </xdr:twoCellAnchor>
  <xdr:twoCellAnchor>
    <xdr:from>
      <xdr:col>0</xdr:col>
      <xdr:colOff>220980</xdr:colOff>
      <xdr:row>1</xdr:row>
      <xdr:rowOff>121920</xdr:rowOff>
    </xdr:from>
    <xdr:to>
      <xdr:col>1</xdr:col>
      <xdr:colOff>876918</xdr:colOff>
      <xdr:row>1</xdr:row>
      <xdr:rowOff>464820</xdr:rowOff>
    </xdr:to>
    <xdr:sp macro="[0]!Inserir_renda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20980" y="571500"/>
          <a:ext cx="1417938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  <a:r>
            <a:rPr lang="pt-BR" sz="1100" baseline="0"/>
            <a:t> renda</a:t>
          </a:r>
          <a:endParaRPr lang="pt-BR" sz="1100"/>
        </a:p>
      </xdr:txBody>
    </xdr:sp>
    <xdr:clientData/>
  </xdr:twoCellAnchor>
  <xdr:twoCellAnchor>
    <xdr:from>
      <xdr:col>0</xdr:col>
      <xdr:colOff>228600</xdr:colOff>
      <xdr:row>3</xdr:row>
      <xdr:rowOff>114300</xdr:rowOff>
    </xdr:from>
    <xdr:to>
      <xdr:col>1</xdr:col>
      <xdr:colOff>868680</xdr:colOff>
      <xdr:row>4</xdr:row>
      <xdr:rowOff>205740</xdr:rowOff>
    </xdr:to>
    <xdr:sp macro="[0]!Inserir_despes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8600" y="1424940"/>
          <a:ext cx="140208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  <a:r>
            <a:rPr lang="pt-BR" sz="1100" baseline="0"/>
            <a:t> despesa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espesas" displayName="Despesas" ref="C14:F25" totalsRowShown="0" headerRowDxfId="15" dataDxfId="14">
  <autoFilter ref="C14:F25" xr:uid="{00000000-0009-0000-0100-000002000000}"/>
  <sortState xmlns:xlrd2="http://schemas.microsoft.com/office/spreadsheetml/2017/richdata2" ref="C15:F25">
    <sortCondition descending="1" ref="F14:F25"/>
  </sortState>
  <tableColumns count="4">
    <tableColumn id="1" xr3:uid="{00000000-0010-0000-0000-000001000000}" name="Item" dataDxfId="13"/>
    <tableColumn id="5" xr3:uid="{00000000-0010-0000-0000-000005000000}" name="Categoria" dataDxfId="12"/>
    <tableColumn id="2" xr3:uid="{00000000-0010-0000-0000-000002000000}" name="Valor" dataDxfId="11"/>
    <tableColumn id="3" xr3:uid="{00000000-0010-0000-0000-000003000000}" name="Data " dataDxfId="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Renda5" displayName="Renda5" ref="H14:J16" totalsRowShown="0" headerRowDxfId="9">
  <autoFilter ref="H14:J16" xr:uid="{00000000-0009-0000-0100-000004000000}"/>
  <tableColumns count="3">
    <tableColumn id="1" xr3:uid="{00000000-0010-0000-0100-000001000000}" name="Item" totalsRowLabel="Total" dataDxfId="8"/>
    <tableColumn id="3" xr3:uid="{00000000-0010-0000-0100-000003000000}" name="Categoria" dataDxfId="7"/>
    <tableColumn id="2" xr3:uid="{00000000-0010-0000-0100-000002000000}" name="Valor" totalsRowFunction="sum" dataDxfId="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Economias6" displayName="Economias6" ref="L14:O15" insertRow="1" totalsRowShown="0" headerRowDxfId="5" dataDxfId="4">
  <autoFilter ref="L14:O15" xr:uid="{00000000-0009-0000-0100-000005000000}"/>
  <tableColumns count="4">
    <tableColumn id="4" xr3:uid="{00000000-0010-0000-0200-000004000000}" name="Item" dataDxfId="3"/>
    <tableColumn id="3" xr3:uid="{00000000-0010-0000-0200-000003000000}" name="Categoria" dataDxfId="2"/>
    <tableColumn id="2" xr3:uid="{00000000-0010-0000-0200-000002000000}" name="Valor" dataDxfId="1"/>
    <tableColumn id="1" xr3:uid="{00000000-0010-0000-0200-000001000000}" name="Data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al Budget">
      <a:dk1>
        <a:sysClr val="windowText" lastClr="000000"/>
      </a:dk1>
      <a:lt1>
        <a:sysClr val="window" lastClr="FFFFFF"/>
      </a:lt1>
      <a:dk2>
        <a:srgbClr val="282C27"/>
      </a:dk2>
      <a:lt2>
        <a:srgbClr val="EBEDE6"/>
      </a:lt2>
      <a:accent1>
        <a:srgbClr val="91BD30"/>
      </a:accent1>
      <a:accent2>
        <a:srgbClr val="EB6982"/>
      </a:accent2>
      <a:accent3>
        <a:srgbClr val="40B0C2"/>
      </a:accent3>
      <a:accent4>
        <a:srgbClr val="E6C73D"/>
      </a:accent4>
      <a:accent5>
        <a:srgbClr val="A68C75"/>
      </a:accent5>
      <a:accent6>
        <a:srgbClr val="A64F8F"/>
      </a:accent6>
      <a:hlink>
        <a:srgbClr val="40B0C2"/>
      </a:hlink>
      <a:folHlink>
        <a:srgbClr val="A64F8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/>
    <pageSetUpPr fitToPage="1"/>
  </sheetPr>
  <dimension ref="A1:O25"/>
  <sheetViews>
    <sheetView showGridLines="0" zoomScaleNormal="100" workbookViewId="0">
      <selection activeCell="E9" sqref="E9"/>
    </sheetView>
  </sheetViews>
  <sheetFormatPr baseColWidth="10" defaultColWidth="8.85546875" defaultRowHeight="28.5" customHeight="1" x14ac:dyDescent="0.2"/>
  <cols>
    <col min="2" max="2" width="12.28515625" customWidth="1"/>
    <col min="3" max="3" width="21.7109375" customWidth="1"/>
    <col min="4" max="5" width="20.28515625" customWidth="1"/>
    <col min="6" max="6" width="12.7109375" customWidth="1"/>
    <col min="7" max="7" width="3.7109375" customWidth="1"/>
    <col min="8" max="8" width="21.28515625" customWidth="1"/>
    <col min="9" max="9" width="20.28515625" customWidth="1"/>
    <col min="10" max="10" width="21.28515625" customWidth="1"/>
    <col min="11" max="11" width="3.7109375" customWidth="1"/>
    <col min="12" max="15" width="21.28515625" customWidth="1"/>
  </cols>
  <sheetData>
    <row r="1" spans="1:15" ht="35.25" customHeight="1" x14ac:dyDescent="0.35">
      <c r="A1" s="3" t="s">
        <v>0</v>
      </c>
      <c r="D1" s="1"/>
      <c r="E1" s="1"/>
    </row>
    <row r="2" spans="1:15" ht="37.5" customHeight="1" x14ac:dyDescent="0.2">
      <c r="C2" s="6" t="s">
        <v>1</v>
      </c>
      <c r="D2" s="6" t="s">
        <v>2</v>
      </c>
      <c r="E2" s="6" t="s">
        <v>3</v>
      </c>
      <c r="F2" s="6" t="s">
        <v>4</v>
      </c>
      <c r="H2" s="21" t="s">
        <v>5</v>
      </c>
      <c r="I2" s="21"/>
      <c r="J2" s="9" t="s">
        <v>6</v>
      </c>
    </row>
    <row r="3" spans="1:15" ht="30" customHeight="1" x14ac:dyDescent="0.2">
      <c r="C3" s="7"/>
      <c r="D3" s="7"/>
      <c r="E3" s="7"/>
      <c r="F3" s="11">
        <f ca="1">TODAY()</f>
        <v>43969</v>
      </c>
      <c r="J3" t="s">
        <v>7</v>
      </c>
    </row>
    <row r="4" spans="1:15" ht="20.5" customHeight="1" x14ac:dyDescent="0.2">
      <c r="E4" s="5"/>
      <c r="J4" s="12">
        <f>SUM(Renda5[Valor])</f>
        <v>1250</v>
      </c>
    </row>
    <row r="5" spans="1:15" ht="20.5" customHeight="1" x14ac:dyDescent="0.2">
      <c r="J5" t="s">
        <v>8</v>
      </c>
    </row>
    <row r="6" spans="1:15" ht="20.5" customHeight="1" x14ac:dyDescent="0.2">
      <c r="E6" s="5"/>
      <c r="J6" s="12">
        <f>SUM(Despesas[Valor])</f>
        <v>728.32999999999993</v>
      </c>
    </row>
    <row r="7" spans="1:15" ht="20.5" customHeight="1" x14ac:dyDescent="0.2">
      <c r="J7" t="s">
        <v>9</v>
      </c>
    </row>
    <row r="8" spans="1:15" ht="20.5" customHeight="1" x14ac:dyDescent="0.2">
      <c r="E8" s="5"/>
      <c r="J8" s="12">
        <f>SUM(Economias6[Valor])</f>
        <v>0</v>
      </c>
    </row>
    <row r="9" spans="1:15" ht="20.5" customHeight="1" x14ac:dyDescent="0.2">
      <c r="J9" t="s">
        <v>10</v>
      </c>
    </row>
    <row r="10" spans="1:15" ht="20.5" customHeight="1" x14ac:dyDescent="0.2">
      <c r="E10" s="5"/>
      <c r="J10" s="12">
        <f>Renda_mensal_total-Total_mensal_de_despesas-Economia_mensal_total</f>
        <v>521.67000000000007</v>
      </c>
    </row>
    <row r="11" spans="1:15" ht="22.5" customHeight="1" x14ac:dyDescent="0.2">
      <c r="H11" s="20">
        <f>MIN(Total_mensal_de_despesas/Renda_mensal_total,1)</f>
        <v>0.58266399999999996</v>
      </c>
      <c r="I11" s="20"/>
    </row>
    <row r="12" spans="1:15" ht="22.5" customHeight="1" x14ac:dyDescent="0.2">
      <c r="C12" s="8"/>
    </row>
    <row r="13" spans="1:15" ht="25" customHeight="1" x14ac:dyDescent="0.25">
      <c r="C13" s="1" t="s">
        <v>11</v>
      </c>
      <c r="H13" s="1" t="s">
        <v>12</v>
      </c>
      <c r="L13" s="1" t="s">
        <v>13</v>
      </c>
    </row>
    <row r="14" spans="1:15" ht="25" customHeight="1" x14ac:dyDescent="0.2">
      <c r="C14" s="2" t="s">
        <v>1</v>
      </c>
      <c r="D14" s="2" t="s">
        <v>2</v>
      </c>
      <c r="E14" s="2" t="s">
        <v>3</v>
      </c>
      <c r="F14" s="2" t="s">
        <v>14</v>
      </c>
      <c r="H14" s="2" t="s">
        <v>1</v>
      </c>
      <c r="I14" s="2" t="s">
        <v>2</v>
      </c>
      <c r="J14" s="2" t="s">
        <v>3</v>
      </c>
      <c r="L14" s="2" t="s">
        <v>1</v>
      </c>
      <c r="M14" s="2" t="s">
        <v>2</v>
      </c>
      <c r="N14" s="2" t="s">
        <v>3</v>
      </c>
      <c r="O14" s="2" t="s">
        <v>4</v>
      </c>
    </row>
    <row r="15" spans="1:15" ht="25" customHeight="1" x14ac:dyDescent="0.2">
      <c r="C15" s="17" t="s">
        <v>48</v>
      </c>
      <c r="D15" s="17" t="s">
        <v>36</v>
      </c>
      <c r="E15" s="17">
        <v>5</v>
      </c>
      <c r="F15" s="19">
        <v>43969</v>
      </c>
      <c r="H15" s="14" t="s">
        <v>41</v>
      </c>
      <c r="I15" s="17" t="s">
        <v>17</v>
      </c>
      <c r="J15" s="14">
        <v>730</v>
      </c>
      <c r="L15" s="13"/>
      <c r="M15" s="17"/>
      <c r="N15" s="15"/>
      <c r="O15" s="16"/>
    </row>
    <row r="16" spans="1:15" ht="28.5" customHeight="1" x14ac:dyDescent="0.2">
      <c r="C16" s="17" t="s">
        <v>47</v>
      </c>
      <c r="D16" s="17" t="s">
        <v>28</v>
      </c>
      <c r="E16" s="17">
        <v>4.5</v>
      </c>
      <c r="F16" s="19">
        <v>43967</v>
      </c>
      <c r="H16" s="14" t="s">
        <v>15</v>
      </c>
      <c r="I16" s="17" t="s">
        <v>17</v>
      </c>
      <c r="J16" s="14">
        <v>520</v>
      </c>
    </row>
    <row r="17" spans="3:6" ht="28.5" customHeight="1" x14ac:dyDescent="0.2">
      <c r="C17" s="17" t="s">
        <v>43</v>
      </c>
      <c r="D17" s="17" t="s">
        <v>28</v>
      </c>
      <c r="E17" s="17">
        <v>17</v>
      </c>
      <c r="F17" s="19">
        <v>43967</v>
      </c>
    </row>
    <row r="18" spans="3:6" ht="28.5" customHeight="1" x14ac:dyDescent="0.2">
      <c r="C18" s="17" t="s">
        <v>46</v>
      </c>
      <c r="D18" s="17" t="s">
        <v>28</v>
      </c>
      <c r="E18" s="17">
        <v>4.29</v>
      </c>
      <c r="F18" s="19">
        <v>43964</v>
      </c>
    </row>
    <row r="19" spans="3:6" ht="28.5" customHeight="1" x14ac:dyDescent="0.2">
      <c r="C19" s="17" t="s">
        <v>45</v>
      </c>
      <c r="D19" s="17" t="s">
        <v>28</v>
      </c>
      <c r="E19" s="17">
        <v>19.899999999999999</v>
      </c>
      <c r="F19" s="19">
        <v>43964</v>
      </c>
    </row>
    <row r="20" spans="3:6" ht="28.5" customHeight="1" x14ac:dyDescent="0.2">
      <c r="C20" s="17" t="s">
        <v>35</v>
      </c>
      <c r="D20" s="17" t="s">
        <v>44</v>
      </c>
      <c r="E20" s="17">
        <v>55</v>
      </c>
      <c r="F20" s="19">
        <v>43964</v>
      </c>
    </row>
    <row r="21" spans="3:6" ht="28.5" customHeight="1" x14ac:dyDescent="0.2">
      <c r="C21" s="17" t="s">
        <v>43</v>
      </c>
      <c r="D21" s="17" t="s">
        <v>28</v>
      </c>
      <c r="E21" s="17">
        <v>17</v>
      </c>
      <c r="F21" s="19">
        <v>43961</v>
      </c>
    </row>
    <row r="22" spans="3:6" ht="28.5" customHeight="1" x14ac:dyDescent="0.2">
      <c r="C22" s="17" t="s">
        <v>42</v>
      </c>
      <c r="D22" s="17" t="s">
        <v>36</v>
      </c>
      <c r="E22" s="17">
        <v>567.1</v>
      </c>
      <c r="F22" s="19">
        <v>43959</v>
      </c>
    </row>
    <row r="23" spans="3:6" ht="28.5" customHeight="1" x14ac:dyDescent="0.2">
      <c r="C23" s="17" t="s">
        <v>39</v>
      </c>
      <c r="D23" s="17" t="s">
        <v>28</v>
      </c>
      <c r="E23" s="17">
        <v>2</v>
      </c>
      <c r="F23" s="19">
        <v>43957</v>
      </c>
    </row>
    <row r="24" spans="3:6" ht="28.5" customHeight="1" x14ac:dyDescent="0.2">
      <c r="C24" s="17" t="s">
        <v>38</v>
      </c>
      <c r="D24" s="17" t="s">
        <v>28</v>
      </c>
      <c r="E24" s="17">
        <v>9.5</v>
      </c>
      <c r="F24" s="19">
        <v>43957</v>
      </c>
    </row>
    <row r="25" spans="3:6" ht="28.5" customHeight="1" x14ac:dyDescent="0.2">
      <c r="C25" s="17" t="s">
        <v>40</v>
      </c>
      <c r="D25" s="17" t="s">
        <v>29</v>
      </c>
      <c r="E25" s="17">
        <v>27.04</v>
      </c>
      <c r="F25" s="19">
        <v>43956</v>
      </c>
    </row>
  </sheetData>
  <mergeCells count="2">
    <mergeCell ref="H11:I11"/>
    <mergeCell ref="H2:I2"/>
  </mergeCells>
  <printOptions horizontalCentered="1"/>
  <pageMargins left="0.35" right="0.41" top="0.41" bottom="0.35" header="0.3" footer="0.3"/>
  <pageSetup paperSize="9" fitToHeight="0" orientation="portrait" r:id="rId1"/>
  <headerFooter differentFirst="1">
    <oddFooter>&amp;CPage &amp;P of &amp;N</oddFooter>
  </headerFooter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000-000001000000}">
            <xm:f>'Dados do gráfico'!$B$6</xm:f>
            <x14:dxf>
              <font>
                <color theme="5" tint="-0.24991607409894101"/>
              </font>
            </x14:dxf>
          </x14:cfRule>
          <xm:sqref>J10</xm:sqref>
        </x14:conditionalFormatting>
        <x14:conditionalFormatting xmlns:xm="http://schemas.microsoft.com/office/excel/2006/main">
          <x14:cfRule type="expression" priority="1" id="{626DBFA9-AB08-3840-891D-7C51FD058161}">
            <xm:f>'Dados do gráfico'!$B$6</xm:f>
            <x14:dxf>
              <font>
                <color theme="5" tint="-0.24991607409894101"/>
              </font>
            </x14:dxf>
          </x14:cfRule>
          <xm:sqref>E10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Categorias!$D$4:$D$6</xm:f>
          </x14:formula1>
          <xm:sqref>M15</xm:sqref>
        </x14:dataValidation>
        <x14:dataValidation type="list" allowBlank="1" showInputMessage="1" showErrorMessage="1" xr:uid="{00000000-0002-0000-0000-000002000000}">
          <x14:formula1>
            <xm:f>Categorias!$C$4:$C$6</xm:f>
          </x14:formula1>
          <xm:sqref>I15:I16</xm:sqref>
        </x14:dataValidation>
        <x14:dataValidation type="list" allowBlank="1" showInputMessage="1" showErrorMessage="1" xr:uid="{42DE4171-BB96-405D-9FA6-DC7F7DC18664}">
          <x14:formula1>
            <xm:f>Categorias!$A$4:$A$15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27"/>
  <sheetViews>
    <sheetView workbookViewId="0">
      <selection activeCell="A14" sqref="A14"/>
    </sheetView>
  </sheetViews>
  <sheetFormatPr baseColWidth="10" defaultColWidth="8.7109375" defaultRowHeight="16" x14ac:dyDescent="0.2"/>
  <cols>
    <col min="1" max="1" width="19.28515625" bestFit="1" customWidth="1"/>
    <col min="2" max="3" width="12.28515625" bestFit="1" customWidth="1"/>
    <col min="4" max="4" width="9.5703125" bestFit="1" customWidth="1"/>
  </cols>
  <sheetData>
    <row r="1" spans="1:6" x14ac:dyDescent="0.2">
      <c r="A1" t="s">
        <v>18</v>
      </c>
    </row>
    <row r="3" spans="1:6" x14ac:dyDescent="0.2">
      <c r="A3" t="s">
        <v>26</v>
      </c>
      <c r="B3" t="s">
        <v>19</v>
      </c>
      <c r="C3" t="s">
        <v>17</v>
      </c>
      <c r="D3" t="s">
        <v>20</v>
      </c>
    </row>
    <row r="4" spans="1:6" x14ac:dyDescent="0.2">
      <c r="A4" s="10" t="s">
        <v>28</v>
      </c>
      <c r="B4" s="10" t="s">
        <v>28</v>
      </c>
      <c r="C4" s="10" t="s">
        <v>15</v>
      </c>
      <c r="D4" s="10" t="s">
        <v>16</v>
      </c>
    </row>
    <row r="5" spans="1:6" x14ac:dyDescent="0.2">
      <c r="A5" s="10" t="s">
        <v>37</v>
      </c>
      <c r="B5" s="10" t="s">
        <v>37</v>
      </c>
      <c r="C5" s="10" t="s">
        <v>17</v>
      </c>
      <c r="D5" s="10" t="s">
        <v>21</v>
      </c>
    </row>
    <row r="6" spans="1:6" x14ac:dyDescent="0.2">
      <c r="A6" s="10" t="s">
        <v>29</v>
      </c>
      <c r="B6" s="10" t="s">
        <v>29</v>
      </c>
      <c r="C6" s="10" t="s">
        <v>22</v>
      </c>
      <c r="D6" s="10" t="s">
        <v>23</v>
      </c>
    </row>
    <row r="7" spans="1:6" x14ac:dyDescent="0.2">
      <c r="A7" s="10" t="s">
        <v>27</v>
      </c>
      <c r="B7" s="10" t="s">
        <v>27</v>
      </c>
      <c r="C7" s="10" t="s">
        <v>24</v>
      </c>
    </row>
    <row r="8" spans="1:6" x14ac:dyDescent="0.2">
      <c r="A8" s="10" t="s">
        <v>30</v>
      </c>
      <c r="B8" s="10" t="s">
        <v>30</v>
      </c>
    </row>
    <row r="9" spans="1:6" x14ac:dyDescent="0.2">
      <c r="A9" s="10" t="s">
        <v>31</v>
      </c>
      <c r="B9" s="10" t="s">
        <v>31</v>
      </c>
    </row>
    <row r="10" spans="1:6" x14ac:dyDescent="0.2">
      <c r="A10" s="10" t="s">
        <v>32</v>
      </c>
      <c r="B10" s="10" t="s">
        <v>32</v>
      </c>
    </row>
    <row r="11" spans="1:6" x14ac:dyDescent="0.2">
      <c r="A11" s="10" t="s">
        <v>33</v>
      </c>
      <c r="B11" s="10" t="s">
        <v>33</v>
      </c>
    </row>
    <row r="12" spans="1:6" x14ac:dyDescent="0.2">
      <c r="A12" s="10" t="s">
        <v>44</v>
      </c>
      <c r="B12" s="10" t="s">
        <v>34</v>
      </c>
    </row>
    <row r="13" spans="1:6" x14ac:dyDescent="0.2">
      <c r="A13" s="10" t="s">
        <v>36</v>
      </c>
      <c r="B13" s="10" t="s">
        <v>35</v>
      </c>
    </row>
    <row r="14" spans="1:6" x14ac:dyDescent="0.2">
      <c r="A14" s="10" t="s">
        <v>17</v>
      </c>
      <c r="B14" s="10" t="s">
        <v>36</v>
      </c>
      <c r="F14" s="10"/>
    </row>
    <row r="15" spans="1:6" x14ac:dyDescent="0.2">
      <c r="A15" s="10" t="s">
        <v>24</v>
      </c>
      <c r="F15" s="10"/>
    </row>
    <row r="16" spans="1:6" x14ac:dyDescent="0.2">
      <c r="F16" s="10"/>
    </row>
    <row r="17" spans="1:6" x14ac:dyDescent="0.2">
      <c r="A17" s="10"/>
      <c r="B17" s="10"/>
      <c r="F17" s="10"/>
    </row>
    <row r="18" spans="1:6" x14ac:dyDescent="0.2">
      <c r="F18" s="10"/>
    </row>
    <row r="19" spans="1:6" x14ac:dyDescent="0.2">
      <c r="B19" s="10"/>
      <c r="F19" s="10"/>
    </row>
    <row r="20" spans="1:6" x14ac:dyDescent="0.2">
      <c r="B20" s="10"/>
      <c r="F20" s="10"/>
    </row>
    <row r="21" spans="1:6" x14ac:dyDescent="0.2">
      <c r="B21" s="10"/>
      <c r="F21" s="10"/>
    </row>
    <row r="22" spans="1:6" x14ac:dyDescent="0.2">
      <c r="B22" s="10"/>
      <c r="F22" s="10"/>
    </row>
    <row r="23" spans="1:6" x14ac:dyDescent="0.2">
      <c r="B23" s="10"/>
      <c r="F23" s="10"/>
    </row>
    <row r="24" spans="1:6" x14ac:dyDescent="0.2">
      <c r="B24" s="10"/>
      <c r="F24" s="10"/>
    </row>
    <row r="25" spans="1:6" x14ac:dyDescent="0.2">
      <c r="B25" s="10"/>
      <c r="F25" s="10"/>
    </row>
    <row r="26" spans="1:6" x14ac:dyDescent="0.2">
      <c r="B26" s="10"/>
      <c r="F26" s="10"/>
    </row>
    <row r="27" spans="1:6" x14ac:dyDescent="0.2">
      <c r="F27" s="10"/>
    </row>
  </sheetData>
  <dataConsolidate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6B8C-A9D4-4BBE-AAD9-770E4A1002FA}">
  <dimension ref="A1:D28"/>
  <sheetViews>
    <sheetView tabSelected="1" workbookViewId="0">
      <selection activeCell="F10" sqref="F10"/>
    </sheetView>
  </sheetViews>
  <sheetFormatPr baseColWidth="10" defaultColWidth="8.7109375" defaultRowHeight="16" x14ac:dyDescent="0.2"/>
  <cols>
    <col min="4" max="4" width="8.85546875" style="18"/>
  </cols>
  <sheetData>
    <row r="1" spans="1:4" x14ac:dyDescent="0.2">
      <c r="A1" t="str">
        <f>Despesas[[#Headers],[Item]]</f>
        <v>Item</v>
      </c>
      <c r="B1" t="str">
        <f>Despesas[[#Headers],[Categoria]]</f>
        <v>Categoria</v>
      </c>
      <c r="C1" t="str">
        <f>Despesas[[#Headers],[Valor]]</f>
        <v>Valor</v>
      </c>
      <c r="D1" t="str">
        <f>Despesas[[#Headers],[Data ]]</f>
        <v xml:space="preserve">Data </v>
      </c>
    </row>
    <row r="2" spans="1:4" x14ac:dyDescent="0.2">
      <c r="A2" t="str">
        <f>IF(Economia!C15="","",Economia!C15)</f>
        <v>Crédito</v>
      </c>
      <c r="B2" t="str">
        <f>IF(Economia!D15="","",Economia!D15)</f>
        <v>Desconhecido</v>
      </c>
      <c r="C2">
        <f>IF(Economia!E15="","",Economia!E15)</f>
        <v>5</v>
      </c>
      <c r="D2">
        <f>IF(Economia!F15="","",Economia!F15)</f>
        <v>43969</v>
      </c>
    </row>
    <row r="3" spans="1:4" x14ac:dyDescent="0.2">
      <c r="A3" t="str">
        <f>IF(Economia!C16="","",Economia!C16)</f>
        <v>Suco</v>
      </c>
      <c r="B3" t="str">
        <f>IF(Economia!D16="","",Economia!D16)</f>
        <v>Lanche</v>
      </c>
      <c r="C3">
        <f>IF(Economia!E16="","",Economia!E16)</f>
        <v>4.5</v>
      </c>
      <c r="D3">
        <f>IF(Economia!F16="","",Economia!F16)</f>
        <v>43967</v>
      </c>
    </row>
    <row r="4" spans="1:4" x14ac:dyDescent="0.2">
      <c r="A4" t="str">
        <f>IF(Economia!C17="","",Economia!C17)</f>
        <v>Subway</v>
      </c>
      <c r="B4" t="str">
        <f>IF(Economia!D17="","",Economia!D17)</f>
        <v>Lanche</v>
      </c>
      <c r="C4">
        <f>IF(Economia!E17="","",Economia!E17)</f>
        <v>17</v>
      </c>
      <c r="D4">
        <f>IF(Economia!F17="","",Economia!F17)</f>
        <v>43967</v>
      </c>
    </row>
    <row r="5" spans="1:4" x14ac:dyDescent="0.2">
      <c r="A5" t="str">
        <f>IF(Economia!C18="","",Economia!C18)</f>
        <v>Picolé</v>
      </c>
      <c r="B5" t="str">
        <f>IF(Economia!D18="","",Economia!D18)</f>
        <v>Lanche</v>
      </c>
      <c r="C5">
        <f>IF(Economia!E18="","",Economia!E18)</f>
        <v>4.29</v>
      </c>
      <c r="D5">
        <f>IF(Economia!F18="","",Economia!F18)</f>
        <v>43964</v>
      </c>
    </row>
    <row r="6" spans="1:4" x14ac:dyDescent="0.2">
      <c r="A6" t="str">
        <f>IF(Economia!C19="","",Economia!C19)</f>
        <v xml:space="preserve">Mcdonald's </v>
      </c>
      <c r="B6" t="str">
        <f>IF(Economia!D19="","",Economia!D19)</f>
        <v>Lanche</v>
      </c>
      <c r="C6">
        <f>IF(Economia!E19="","",Economia!E19)</f>
        <v>19.899999999999999</v>
      </c>
      <c r="D6">
        <f>IF(Economia!F19="","",Economia!F19)</f>
        <v>43964</v>
      </c>
    </row>
    <row r="7" spans="1:4" x14ac:dyDescent="0.2">
      <c r="A7" t="str">
        <f>IF(Economia!C20="","",Economia!C20)</f>
        <v>Psicóloga</v>
      </c>
      <c r="B7" t="str">
        <f>IF(Economia!D20="","",Economia!D20)</f>
        <v>Saúde</v>
      </c>
      <c r="C7">
        <f>IF(Economia!E20="","",Economia!E20)</f>
        <v>55</v>
      </c>
      <c r="D7">
        <f>IF(Economia!F20="","",Economia!F20)</f>
        <v>43964</v>
      </c>
    </row>
    <row r="8" spans="1:4" x14ac:dyDescent="0.2">
      <c r="A8" t="str">
        <f>IF(Economia!C21="","",Economia!C21)</f>
        <v>Subway</v>
      </c>
      <c r="B8" t="str">
        <f>IF(Economia!D21="","",Economia!D21)</f>
        <v>Lanche</v>
      </c>
      <c r="C8">
        <f>IF(Economia!E21="","",Economia!E21)</f>
        <v>17</v>
      </c>
      <c r="D8">
        <f>IF(Economia!F21="","",Economia!F21)</f>
        <v>43961</v>
      </c>
    </row>
    <row r="9" spans="1:4" x14ac:dyDescent="0.2">
      <c r="A9" t="str">
        <f>IF(Economia!C22="","",Economia!C22)</f>
        <v>Cartão de crédito</v>
      </c>
      <c r="B9" t="str">
        <f>IF(Economia!D22="","",Economia!D22)</f>
        <v>Desconhecido</v>
      </c>
      <c r="C9">
        <f>IF(Economia!E22="","",Economia!E22)</f>
        <v>567.1</v>
      </c>
      <c r="D9">
        <f>IF(Economia!F22="","",Economia!F22)</f>
        <v>43959</v>
      </c>
    </row>
    <row r="10" spans="1:4" x14ac:dyDescent="0.2">
      <c r="A10" t="str">
        <f>IF(Economia!C23="","",Economia!C23)</f>
        <v>Água</v>
      </c>
      <c r="B10" t="str">
        <f>IF(Economia!D23="","",Economia!D23)</f>
        <v>Lanche</v>
      </c>
      <c r="C10">
        <f>IF(Economia!E23="","",Economia!E23)</f>
        <v>2</v>
      </c>
      <c r="D10">
        <f>IF(Economia!F23="","",Economia!F23)</f>
        <v>43957</v>
      </c>
    </row>
    <row r="11" spans="1:4" x14ac:dyDescent="0.2">
      <c r="A11" t="str">
        <f>IF(Economia!C24="","",Economia!C24)</f>
        <v>Torta alemã</v>
      </c>
      <c r="B11" t="str">
        <f>IF(Economia!D24="","",Economia!D24)</f>
        <v>Lanche</v>
      </c>
      <c r="C11">
        <f>IF(Economia!E24="","",Economia!E24)</f>
        <v>9.5</v>
      </c>
      <c r="D11">
        <f>IF(Economia!F24="","",Economia!F24)</f>
        <v>43957</v>
      </c>
    </row>
    <row r="12" spans="1:4" x14ac:dyDescent="0.2">
      <c r="A12" t="str">
        <f>IF(Economia!C25="","",Economia!C25)</f>
        <v>Bife</v>
      </c>
      <c r="B12" t="str">
        <f>IF(Economia!D25="","",Economia!D25)</f>
        <v>Supermercado</v>
      </c>
      <c r="C12">
        <f>IF(Economia!E25="","",Economia!E25)</f>
        <v>27.04</v>
      </c>
      <c r="D12">
        <f>IF(Economia!F25="","",Economia!F25)</f>
        <v>43956</v>
      </c>
    </row>
    <row r="13" spans="1:4" x14ac:dyDescent="0.2">
      <c r="A13" t="str">
        <f>IF(Economia!C26="","",Economia!C26)</f>
        <v/>
      </c>
      <c r="B13" t="str">
        <f>IF(Economia!D26="","",Economia!D26)</f>
        <v/>
      </c>
      <c r="C13" t="str">
        <f>IF(Economia!E26="","",Economia!E26)</f>
        <v/>
      </c>
      <c r="D13" t="str">
        <f>IF(Economia!F26="","",Economia!F26)</f>
        <v/>
      </c>
    </row>
    <row r="14" spans="1:4" x14ac:dyDescent="0.2">
      <c r="A14" t="str">
        <f>IF(Economia!C27="","",Economia!C27)</f>
        <v/>
      </c>
      <c r="B14" t="str">
        <f>IF(Economia!D27="","",Economia!D27)</f>
        <v/>
      </c>
      <c r="C14" t="str">
        <f>IF(Economia!E27="","",Economia!E27)</f>
        <v/>
      </c>
      <c r="D14" t="str">
        <f>IF(Economia!F27="","",Economia!F27)</f>
        <v/>
      </c>
    </row>
    <row r="15" spans="1:4" x14ac:dyDescent="0.2">
      <c r="A15" t="str">
        <f>IF(Economia!C28="","",Economia!C28)</f>
        <v/>
      </c>
      <c r="B15" t="str">
        <f>IF(Economia!D28="","",Economia!D28)</f>
        <v/>
      </c>
      <c r="C15" t="str">
        <f>IF(Economia!E28="","",Economia!E28)</f>
        <v/>
      </c>
      <c r="D15" t="str">
        <f>IF(Economia!F28="","",Economia!F28)</f>
        <v/>
      </c>
    </row>
    <row r="16" spans="1:4" x14ac:dyDescent="0.2">
      <c r="A16" t="str">
        <f>IF(Economia!C29="","",Economia!C29)</f>
        <v/>
      </c>
      <c r="B16" t="str">
        <f>IF(Economia!D29="","",Economia!D29)</f>
        <v/>
      </c>
      <c r="C16" t="str">
        <f>IF(Economia!E29="","",Economia!E29)</f>
        <v/>
      </c>
      <c r="D16" t="str">
        <f>IF(Economia!F29="","",Economia!F29)</f>
        <v/>
      </c>
    </row>
    <row r="17" spans="1:4" x14ac:dyDescent="0.2">
      <c r="A17" t="str">
        <f>IF(Economia!C30="","",Economia!C30)</f>
        <v/>
      </c>
      <c r="B17" t="str">
        <f>IF(Economia!D30="","",Economia!D30)</f>
        <v/>
      </c>
      <c r="C17" t="str">
        <f>IF(Economia!E30="","",Economia!E30)</f>
        <v/>
      </c>
      <c r="D17" t="str">
        <f>IF(Economia!F30="","",Economia!F30)</f>
        <v/>
      </c>
    </row>
    <row r="18" spans="1:4" x14ac:dyDescent="0.2">
      <c r="A18" t="str">
        <f>IF(Economia!C38="","",Economia!C38)</f>
        <v/>
      </c>
      <c r="B18" t="str">
        <f>IF(Economia!D38="","",Economia!D38)</f>
        <v/>
      </c>
      <c r="C18" t="str">
        <f>IF(Economia!E38="","",Economia!E38)</f>
        <v/>
      </c>
      <c r="D18" t="str">
        <f>IF(Economia!F38="","",Economia!F38)</f>
        <v/>
      </c>
    </row>
    <row r="19" spans="1:4" x14ac:dyDescent="0.2">
      <c r="A19" t="str">
        <f>IF(Economia!C39="","",Economia!C39)</f>
        <v/>
      </c>
      <c r="B19" t="str">
        <f>IF(Economia!D39="","",Economia!D39)</f>
        <v/>
      </c>
      <c r="C19" t="str">
        <f>IF(Economia!E39="","",Economia!E39)</f>
        <v/>
      </c>
      <c r="D19" t="str">
        <f>IF(Economia!F39="","",Economia!F39)</f>
        <v/>
      </c>
    </row>
    <row r="20" spans="1:4" x14ac:dyDescent="0.2">
      <c r="A20" t="str">
        <f>IF(Economia!C40="","",Economia!C40)</f>
        <v/>
      </c>
      <c r="B20" t="str">
        <f>IF(Economia!D40="","",Economia!D40)</f>
        <v/>
      </c>
      <c r="C20" t="str">
        <f>IF(Economia!E40="","",Economia!E40)</f>
        <v/>
      </c>
      <c r="D20" t="str">
        <f>IF(Economia!F40="","",Economia!F40)</f>
        <v/>
      </c>
    </row>
    <row r="21" spans="1:4" x14ac:dyDescent="0.2">
      <c r="A21" t="str">
        <f>IF(Economia!C41="","",Economia!C41)</f>
        <v/>
      </c>
      <c r="B21" t="str">
        <f>IF(Economia!D41="","",Economia!D41)</f>
        <v/>
      </c>
      <c r="C21" t="str">
        <f>IF(Economia!E41="","",Economia!E41)</f>
        <v/>
      </c>
      <c r="D21" t="str">
        <f>IF(Economia!F41="","",Economia!F41)</f>
        <v/>
      </c>
    </row>
    <row r="22" spans="1:4" x14ac:dyDescent="0.2">
      <c r="A22" t="str">
        <f>IF(Economia!C42="","",Economia!C42)</f>
        <v/>
      </c>
      <c r="B22" t="str">
        <f>IF(Economia!D42="","",Economia!D42)</f>
        <v/>
      </c>
      <c r="C22" t="str">
        <f>IF(Economia!E42="","",Economia!E42)</f>
        <v/>
      </c>
      <c r="D22" t="str">
        <f>IF(Economia!F42="","",Economia!F42)</f>
        <v/>
      </c>
    </row>
    <row r="23" spans="1:4" x14ac:dyDescent="0.2">
      <c r="A23" t="str">
        <f>IF(Economia!C43="","",Economia!C43)</f>
        <v/>
      </c>
      <c r="B23" t="str">
        <f>IF(Economia!D43="","",Economia!D43)</f>
        <v/>
      </c>
      <c r="C23" t="str">
        <f>IF(Economia!E43="","",Economia!E43)</f>
        <v/>
      </c>
      <c r="D23" t="str">
        <f>IF(Economia!F43="","",Economia!F43)</f>
        <v/>
      </c>
    </row>
    <row r="24" spans="1:4" x14ac:dyDescent="0.2">
      <c r="A24" t="str">
        <f>IF(Economia!C44="","",Economia!C44)</f>
        <v/>
      </c>
      <c r="B24" t="str">
        <f>IF(Economia!D44="","",Economia!D44)</f>
        <v/>
      </c>
      <c r="C24" t="str">
        <f>IF(Economia!E44="","",Economia!E44)</f>
        <v/>
      </c>
      <c r="D24" t="str">
        <f>IF(Economia!F44="","",Economia!F44)</f>
        <v/>
      </c>
    </row>
    <row r="25" spans="1:4" x14ac:dyDescent="0.2">
      <c r="A25" t="str">
        <f>IF(Economia!C45="","",Economia!C45)</f>
        <v/>
      </c>
      <c r="B25" t="str">
        <f>IF(Economia!D45="","",Economia!D45)</f>
        <v/>
      </c>
      <c r="C25" t="str">
        <f>IF(Economia!E45="","",Economia!E45)</f>
        <v/>
      </c>
      <c r="D25" t="str">
        <f>IF(Economia!F45="","",Economia!F45)</f>
        <v/>
      </c>
    </row>
    <row r="26" spans="1:4" x14ac:dyDescent="0.2">
      <c r="A26" t="str">
        <f>IF(Economia!C46="","",Economia!C46)</f>
        <v/>
      </c>
      <c r="B26" t="str">
        <f>IF(Economia!D46="","",Economia!D46)</f>
        <v/>
      </c>
      <c r="C26" t="str">
        <f>IF(Economia!E46="","",Economia!E46)</f>
        <v/>
      </c>
      <c r="D26" t="str">
        <f>IF(Economia!F46="","",Economia!F46)</f>
        <v/>
      </c>
    </row>
    <row r="27" spans="1:4" x14ac:dyDescent="0.2">
      <c r="A27" t="str">
        <f>IF(Economia!C47="","",Economia!C47)</f>
        <v/>
      </c>
      <c r="B27" t="str">
        <f>IF(Economia!D47="","",Economia!D47)</f>
        <v/>
      </c>
      <c r="C27" t="str">
        <f>IF(Economia!E47="","",Economia!E47)</f>
        <v/>
      </c>
      <c r="D27" t="str">
        <f>IF(Economia!F47="","",Economia!F47)</f>
        <v/>
      </c>
    </row>
    <row r="28" spans="1:4" x14ac:dyDescent="0.2">
      <c r="A28" t="str">
        <f>IF(Economia!C48="","",Economia!C48)</f>
        <v/>
      </c>
      <c r="B28" t="str">
        <f>IF(Economia!D48="","",Economia!D48)</f>
        <v/>
      </c>
      <c r="C28" t="str">
        <f>IF(Economia!E48="","",Economia!E48)</f>
        <v/>
      </c>
      <c r="D28" t="str">
        <f>IF(Economia!F48="","",Economia!F48)</f>
        <v/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>
    <tabColor theme="1" tint="0.49995422223578601"/>
  </sheetPr>
  <dimension ref="B2:B6"/>
  <sheetViews>
    <sheetView showGridLines="0" zoomScale="125" zoomScaleNormal="125" workbookViewId="0"/>
  </sheetViews>
  <sheetFormatPr baseColWidth="10" defaultColWidth="8.85546875" defaultRowHeight="16" x14ac:dyDescent="0.2"/>
  <cols>
    <col min="1" max="1" width="1.7109375" customWidth="1"/>
  </cols>
  <sheetData>
    <row r="2" spans="2:2" x14ac:dyDescent="0.2">
      <c r="B2" t="s">
        <v>25</v>
      </c>
    </row>
    <row r="4" spans="2:2" x14ac:dyDescent="0.2">
      <c r="B4" s="4">
        <f>MIN(1-B5,1)</f>
        <v>0.41733600000000004</v>
      </c>
    </row>
    <row r="5" spans="2:2" x14ac:dyDescent="0.2">
      <c r="B5" s="4">
        <f>MIN(Total_mensal_de_despesas/Renda_mensal_total,1)</f>
        <v>0.58266399999999996</v>
      </c>
    </row>
    <row r="6" spans="2:2" x14ac:dyDescent="0.2">
      <c r="B6" t="b">
        <f>(Total_mensal_de_despesas/Renda_mensal_total)&gt;1</f>
        <v>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E69A37-50AA-4257-97E0-763658574E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Economia</vt:lpstr>
      <vt:lpstr>Categorias</vt:lpstr>
      <vt:lpstr>Despesas</vt:lpstr>
      <vt:lpstr>Dados do gráfico</vt:lpstr>
      <vt:lpstr>Economia_mensal_total</vt:lpstr>
      <vt:lpstr>Renda_mensal_total</vt:lpstr>
      <vt:lpstr>Total_mensal_de_despesas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Alexandre Magno de Almeida Leao Sanches</dc:creator>
  <cp:keywords/>
  <dc:description/>
  <cp:lastModifiedBy>Alexandre Sanches</cp:lastModifiedBy>
  <cp:revision/>
  <dcterms:created xsi:type="dcterms:W3CDTF">2014-09-09T12:22:13Z</dcterms:created>
  <dcterms:modified xsi:type="dcterms:W3CDTF">2020-05-18T18:04:12Z</dcterms:modified>
  <cp:category/>
  <cp:contentStatus/>
</cp:coreProperties>
</file>